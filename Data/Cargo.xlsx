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Roger/TFM/Data/"/>
    </mc:Choice>
  </mc:AlternateContent>
  <xr:revisionPtr revIDLastSave="0" documentId="8_{8E1E1509-6EC0-6144-83B9-11A80C7CE764}" xr6:coauthVersionLast="36" xr6:coauthVersionMax="36" xr10:uidLastSave="{00000000-0000-0000-0000-000000000000}"/>
  <bookViews>
    <workbookView xWindow="1280" yWindow="0" windowWidth="25600" windowHeight="160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83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2" i="1"/>
  <c r="B82" i="1" l="1"/>
  <c r="C83" i="1" l="1"/>
  <c r="C84" i="1" s="1"/>
  <c r="B84" i="1"/>
</calcChain>
</file>

<file path=xl/sharedStrings.xml><?xml version="1.0" encoding="utf-8"?>
<sst xmlns="http://schemas.openxmlformats.org/spreadsheetml/2006/main" count="203" uniqueCount="120">
  <si>
    <t>LINK</t>
  </si>
  <si>
    <t>Alitalia</t>
  </si>
  <si>
    <t>Air Canada</t>
  </si>
  <si>
    <t>SAS</t>
  </si>
  <si>
    <t>Lufthansa</t>
  </si>
  <si>
    <t>Luxair</t>
  </si>
  <si>
    <t>British Airways</t>
  </si>
  <si>
    <t>KLM</t>
  </si>
  <si>
    <t>Finnair</t>
  </si>
  <si>
    <t>Aeroflot</t>
  </si>
  <si>
    <t>EVA Air</t>
  </si>
  <si>
    <t>Icelandair</t>
  </si>
  <si>
    <t xml:space="preserve">United Airlines </t>
  </si>
  <si>
    <t>Delta Airlines</t>
  </si>
  <si>
    <t>Malaysia Airlines</t>
  </si>
  <si>
    <t>Norwegian</t>
  </si>
  <si>
    <t>S7 Airlines</t>
  </si>
  <si>
    <t>Air China</t>
  </si>
  <si>
    <t>Air France</t>
  </si>
  <si>
    <t>Hawaiian Airlines</t>
  </si>
  <si>
    <t>Azul</t>
  </si>
  <si>
    <t>China Airlines</t>
  </si>
  <si>
    <t>Korean Air</t>
  </si>
  <si>
    <t>GOL</t>
  </si>
  <si>
    <t>Philippine Airlines</t>
  </si>
  <si>
    <t>Turkish Airlines</t>
  </si>
  <si>
    <t>Vueling</t>
  </si>
  <si>
    <t>ANA</t>
  </si>
  <si>
    <t>Loganair</t>
  </si>
  <si>
    <t>Iberia</t>
  </si>
  <si>
    <t>JAL</t>
  </si>
  <si>
    <t>Air Senegal</t>
  </si>
  <si>
    <t>Asiana Airlines</t>
  </si>
  <si>
    <t>Eurowings</t>
  </si>
  <si>
    <t>TAP Air Portugal</t>
  </si>
  <si>
    <t>Wizz Air</t>
  </si>
  <si>
    <t>Air New Zealand</t>
  </si>
  <si>
    <t>Aerolineas Argentinas</t>
  </si>
  <si>
    <t>Singapore Airlines</t>
  </si>
  <si>
    <t>Swiss International Air</t>
  </si>
  <si>
    <t>Ethiopian Airlines</t>
  </si>
  <si>
    <t>Cathay Pacific</t>
  </si>
  <si>
    <t>Etihad</t>
  </si>
  <si>
    <t>Garuda</t>
  </si>
  <si>
    <t>Gulf Air</t>
  </si>
  <si>
    <t>Qatar</t>
  </si>
  <si>
    <t>American Airlines</t>
  </si>
  <si>
    <t>Vietnam Airlines</t>
  </si>
  <si>
    <t>Thai Airways</t>
  </si>
  <si>
    <t>Air Antilles</t>
  </si>
  <si>
    <t>China Southern</t>
  </si>
  <si>
    <t xml:space="preserve">LATAM </t>
  </si>
  <si>
    <t>Cathay Dragon</t>
  </si>
  <si>
    <t>Royal Brunei</t>
  </si>
  <si>
    <t>Scoot</t>
  </si>
  <si>
    <t>Virgin Atlantic</t>
  </si>
  <si>
    <t>Emirates</t>
  </si>
  <si>
    <t xml:space="preserve">China Eastern </t>
  </si>
  <si>
    <t>Al Israel Airlines</t>
  </si>
  <si>
    <t>Egyptair</t>
  </si>
  <si>
    <t>Thai Lion Air</t>
  </si>
  <si>
    <t>Condor</t>
  </si>
  <si>
    <t>Croatia Airlines</t>
  </si>
  <si>
    <t>Cayman Airways</t>
  </si>
  <si>
    <t>Eastern Airways</t>
  </si>
  <si>
    <t>Xiamen Airlines</t>
  </si>
  <si>
    <t>Druk Air</t>
  </si>
  <si>
    <t>Juneyao Airlines</t>
  </si>
  <si>
    <t>Spring Airlines</t>
  </si>
  <si>
    <t>Atlantic Airways</t>
  </si>
  <si>
    <t>Bamboo Airways</t>
  </si>
  <si>
    <t>Hainan Airlines</t>
  </si>
  <si>
    <t>Philippine Air Asia</t>
  </si>
  <si>
    <t>Sichuan Airlines</t>
  </si>
  <si>
    <t>Air Austral</t>
  </si>
  <si>
    <t>Azerbaijan Airlines</t>
  </si>
  <si>
    <t>Fiji Airways</t>
  </si>
  <si>
    <t>Shanghai Airlines</t>
  </si>
  <si>
    <t>Air Calin</t>
  </si>
  <si>
    <t>Beijing Capital Airlines</t>
  </si>
  <si>
    <t>Shandong Airlines</t>
  </si>
  <si>
    <t>NO</t>
  </si>
  <si>
    <t>YES</t>
  </si>
  <si>
    <t>https://aircanada.mediaroom.com/2020-04-11-Air-Canada-Reconfigures-Passenger-Cabins-on-Three-Aircraft-to-Transport-More-Vital-Supplies-and-Necessary-Cargo</t>
  </si>
  <si>
    <t>NOM aerolinea + passenger airplanes filled with cargo</t>
  </si>
  <si>
    <t>NOM aerolinea cargo flights COVID-19</t>
  </si>
  <si>
    <t>NOM aerolinea + airplanes used to transport cargo</t>
  </si>
  <si>
    <t>https://www.reuters.com/article/us-health-coronavirus-sas-cargo/sas-turns-to-cargo-flights-using-idled-passenger-planes-idUSKBN21H10C</t>
  </si>
  <si>
    <t>https://www.aircargonews.net/airlines/airlines-fill-passenger-seats-with-cargo-to-meet-demand/</t>
  </si>
  <si>
    <t>https://www.finnair.com/es-es/bluewings/world-of-finnair/how-finnair-is-keeping-cargo-moving-with-passenger-planes-2105430</t>
  </si>
  <si>
    <t>https://www.aircargonews.net/airlines/airlines-continue-fight-against-covid-19/</t>
  </si>
  <si>
    <t>https://www.forbes.com/sites/willhorton1/2020/05/13/united-airlines-medical-supplies-cargo-flight-opposed-by-anchorage-during-covid-19/#420bff354e26</t>
  </si>
  <si>
    <t>https://www.businessinsider.com/coronavirus-airlines-flying-cargo-only-planes-for-medical-supplies-mail-2020-4?IR=T</t>
  </si>
  <si>
    <t>https://samchui.com/2020/03/26/covid-19-airlines-focus-their-fleets-on-cargo/#.XuC80J4zZQI</t>
  </si>
  <si>
    <t>https://www.forbes.com/sites/willhorton1/2020/05/06/a380-freighter-might-be-more-trouble-than-its-worth-for-covid-19-air-cargo/#2db2858975df</t>
  </si>
  <si>
    <t>https://www.bloomberg.com/news/articles/2020-03-25/desperate-airlines-switch-passengers-for-cargo-to-stay-alive</t>
  </si>
  <si>
    <t>http://www.xinhuanet.com/english/2020-05/18/c_139064684.htm</t>
  </si>
  <si>
    <t>https://www.youtube.com/watch?v=OazbIkAOHtI</t>
  </si>
  <si>
    <t>https://www.forbes.com/sites/jamesasquith/2020/03/28/commercial-airlines-are-now-operating-cargo-only-flights/#61f881bc6f0e</t>
  </si>
  <si>
    <t>https://japantoday.com/category/business/with-no-passengers-ana-fills-every-seat-on-plane-with-masks-and-medical-supplies</t>
  </si>
  <si>
    <t>https://samchui.com/2020/03/26/covid-19-airlines-focus-their-fleets-on-cargo/#.XuH3Xp4zZQI</t>
  </si>
  <si>
    <t>https://mainichi.jp/english/articles/20200515/p2a/00m/0bu/007000c</t>
  </si>
  <si>
    <t>https://www.donga.com/en/article/all/20200316/2008928/1/Airliners-use-passenger-planes-to-send-cargo-amid-virus-outbreak</t>
  </si>
  <si>
    <t>https://www.scoop.co.nz/stories/BU2004/S00214/air-cargo-connections-continue-in-covid-19-lock-down.htm</t>
  </si>
  <si>
    <t>https://airgways.com/2020/04/15/aerolineas-vuelo-sanitario-a-shanghai/</t>
  </si>
  <si>
    <t>https://www.forbes.com/sites/jasonbisnoff/2020/06/09/nick-lomaglio-uses-passion-for-teaching-with-clients-and-students-alike/#789edb27a84b</t>
  </si>
  <si>
    <t>https://samchui.com/2020/03/26/covid-19-airlines-focus-their-fleets-on-cargo/#.XuICzp4zZQJ</t>
  </si>
  <si>
    <t>https://www.forbes.com/sites/cathybuyck/2020/03/26/airlines-spot-revenue-opportunity-and-use-their-passenger-aircraft-to-ship-urgent-cargo/#1b9c58707c68</t>
  </si>
  <si>
    <t>https://www.thejakartapost.com/news/2020/04/30/garuda-switches-focus-to-cargo-chartered-flight-businesses-amid-mudik-ban.html</t>
  </si>
  <si>
    <t>https://theloadstar.com/qatar-airways-cargo-creates-an-air-bridge-between-vietnam-and-france/</t>
  </si>
  <si>
    <t>https://vnexplorer.net/vietnamese-aviation-aims-at-specialized-cargo-a202045164.html</t>
  </si>
  <si>
    <t>https://www.globaltimes.cn/content/1186745.shtml</t>
  </si>
  <si>
    <t>https://samchui.com/2020/03/26/covid-19-airlines-focus-their-fleets-on-cargo/#.XuIRFZ4zZQI</t>
  </si>
  <si>
    <t>https://www.nytimes.com/2020/05/25/business/coronavirus-airlines-cargo-passengers.html</t>
  </si>
  <si>
    <t>https://samchui.com/2020/03/26/covid-19-airlines-focus-their-fleets-on-cargo/#.XuISD54zZQI</t>
  </si>
  <si>
    <t>https://www.tact-online.org/covid-19</t>
  </si>
  <si>
    <t>TOTAL</t>
  </si>
  <si>
    <t>AIRLINE</t>
  </si>
  <si>
    <t>INCREASED FREQUENCIES FROM MARCH 15 - APRIL 7</t>
  </si>
  <si>
    <t>EVIDENCES OF FLYING CARGO FLIGHTS ON PASSENGER AIRCRAFTS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</si>
</sst>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9" fontId="0" fillId="0" borderId="0" xfId="2" applyFont="1"/>
    <xf numFmtId="9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amchui.com/2020/03/26/covid-19-airlines-focus-their-fleets-on-cargo/" TargetMode="External"/><Relationship Id="rId18" Type="http://schemas.openxmlformats.org/officeDocument/2006/relationships/hyperlink" Target="https://www.forbes.com/sites/jasonbisnoff/2020/06/09/nick-lomaglio-uses-passion-for-teaching-with-clients-and-students-alike/" TargetMode="External"/><Relationship Id="rId26" Type="http://schemas.openxmlformats.org/officeDocument/2006/relationships/hyperlink" Target="https://www.aircargonews.net/airlines/airlines-fill-passenger-seats-with-cargo-to-meet-demand/" TargetMode="External"/><Relationship Id="rId3" Type="http://schemas.openxmlformats.org/officeDocument/2006/relationships/hyperlink" Target="https://www.aircargonews.net/airlines/airlines-fill-passenger-seats-with-cargo-to-meet-demand/" TargetMode="External"/><Relationship Id="rId21" Type="http://schemas.openxmlformats.org/officeDocument/2006/relationships/hyperlink" Target="https://www.forbes.com/sites/cathybuyck/2020/03/26/airlines-spot-revenue-opportunity-and-use-their-passenger-aircraft-to-ship-urgent-cargo/" TargetMode="External"/><Relationship Id="rId7" Type="http://schemas.openxmlformats.org/officeDocument/2006/relationships/hyperlink" Target="https://samchui.com/2020/03/26/covid-19-airlines-focus-their-fleets-on-cargo/" TargetMode="External"/><Relationship Id="rId12" Type="http://schemas.openxmlformats.org/officeDocument/2006/relationships/hyperlink" Target="https://japantoday.com/category/business/with-no-passengers-ana-fills-every-seat-on-plane-with-masks-and-medical-supplies" TargetMode="External"/><Relationship Id="rId17" Type="http://schemas.openxmlformats.org/officeDocument/2006/relationships/hyperlink" Target="https://airgways.com/2020/04/15/aerolineas-vuelo-sanitario-a-shanghai/" TargetMode="External"/><Relationship Id="rId25" Type="http://schemas.openxmlformats.org/officeDocument/2006/relationships/hyperlink" Target="https://www.globaltimes.cn/content/1186745.shtml" TargetMode="External"/><Relationship Id="rId33" Type="http://schemas.openxmlformats.org/officeDocument/2006/relationships/hyperlink" Target="https://www.forbes.com/sites/willhorton1/2020/05/06/a380-freighter-might-be-more-trouble-than-its-worth-for-covid-19-air-cargo/" TargetMode="External"/><Relationship Id="rId2" Type="http://schemas.openxmlformats.org/officeDocument/2006/relationships/hyperlink" Target="https://www.reuters.com/article/us-health-coronavirus-sas-cargo/sas-turns-to-cargo-flights-using-idled-passenger-planes-idUSKBN21H10C" TargetMode="External"/><Relationship Id="rId16" Type="http://schemas.openxmlformats.org/officeDocument/2006/relationships/hyperlink" Target="https://www.scoop.co.nz/stories/BU2004/S00214/air-cargo-connections-continue-in-covid-19-lock-down.htm" TargetMode="External"/><Relationship Id="rId20" Type="http://schemas.openxmlformats.org/officeDocument/2006/relationships/hyperlink" Target="https://samchui.com/2020/03/26/covid-19-airlines-focus-their-fleets-on-cargo/" TargetMode="External"/><Relationship Id="rId29" Type="http://schemas.openxmlformats.org/officeDocument/2006/relationships/hyperlink" Target="https://www.aircargonews.net/airlines/airlines-continue-fight-against-covid-19/" TargetMode="External"/><Relationship Id="rId1" Type="http://schemas.openxmlformats.org/officeDocument/2006/relationships/hyperlink" Target="https://aircanada.mediaroom.com/2020-04-11-Air-Canada-Reconfigures-Passenger-Cabins-on-Three-Aircraft-to-Transport-More-Vital-Supplies-and-Necessary-Cargo" TargetMode="External"/><Relationship Id="rId6" Type="http://schemas.openxmlformats.org/officeDocument/2006/relationships/hyperlink" Target="https://www.businessinsider.com/coronavirus-airlines-flying-cargo-only-planes-for-medical-supplies-mail-2020-4?IR=T" TargetMode="External"/><Relationship Id="rId11" Type="http://schemas.openxmlformats.org/officeDocument/2006/relationships/hyperlink" Target="https://www.forbes.com/sites/jamesasquith/2020/03/28/commercial-airlines-are-now-operating-cargo-only-flights/" TargetMode="External"/><Relationship Id="rId24" Type="http://schemas.openxmlformats.org/officeDocument/2006/relationships/hyperlink" Target="https://vnexplorer.net/vietnamese-aviation-aims-at-specialized-cargo-a202045164.html" TargetMode="External"/><Relationship Id="rId32" Type="http://schemas.openxmlformats.org/officeDocument/2006/relationships/hyperlink" Target="https://www.finnair.com/es-es/bluewings/world-of-finnair/how-finnair-is-keeping-cargo-moving-with-passenger-planes-2105430" TargetMode="External"/><Relationship Id="rId5" Type="http://schemas.openxmlformats.org/officeDocument/2006/relationships/hyperlink" Target="https://www.forbes.com/sites/willhorton1/2020/05/13/united-airlines-medical-supplies-cargo-flight-opposed-by-anchorage-during-covid-19/" TargetMode="External"/><Relationship Id="rId15" Type="http://schemas.openxmlformats.org/officeDocument/2006/relationships/hyperlink" Target="https://www.donga.com/en/article/all/20200316/2008928/1/Airliners-use-passenger-planes-to-send-cargo-amid-virus-outbreak" TargetMode="External"/><Relationship Id="rId23" Type="http://schemas.openxmlformats.org/officeDocument/2006/relationships/hyperlink" Target="https://theloadstar.com/qatar-airways-cargo-creates-an-air-bridge-between-vietnam-and-france/" TargetMode="External"/><Relationship Id="rId28" Type="http://schemas.openxmlformats.org/officeDocument/2006/relationships/hyperlink" Target="https://www.nytimes.com/2020/05/25/business/coronavirus-airlines-cargo-passengers.html" TargetMode="External"/><Relationship Id="rId10" Type="http://schemas.openxmlformats.org/officeDocument/2006/relationships/hyperlink" Target="https://www.youtube.com/watch?v=OazbIkAOHtI" TargetMode="External"/><Relationship Id="rId19" Type="http://schemas.openxmlformats.org/officeDocument/2006/relationships/hyperlink" Target="https://samchui.com/2020/03/26/covid-19-airlines-focus-their-fleets-on-cargo/" TargetMode="External"/><Relationship Id="rId31" Type="http://schemas.openxmlformats.org/officeDocument/2006/relationships/hyperlink" Target="https://www.tact-online.org/covid-19" TargetMode="External"/><Relationship Id="rId4" Type="http://schemas.openxmlformats.org/officeDocument/2006/relationships/hyperlink" Target="https://www.aircargonews.net/airlines/airlines-continue-fight-against-covid-19/" TargetMode="External"/><Relationship Id="rId9" Type="http://schemas.openxmlformats.org/officeDocument/2006/relationships/hyperlink" Target="http://www.xinhuanet.com/english/2020-05/18/c_139064684.htm" TargetMode="External"/><Relationship Id="rId14" Type="http://schemas.openxmlformats.org/officeDocument/2006/relationships/hyperlink" Target="https://mainichi.jp/english/articles/20200515/p2a/00m/0bu/007000c" TargetMode="External"/><Relationship Id="rId22" Type="http://schemas.openxmlformats.org/officeDocument/2006/relationships/hyperlink" Target="https://www.thejakartapost.com/news/2020/04/30/garuda-switches-focus-to-cargo-chartered-flight-businesses-amid-mudik-ban.html" TargetMode="External"/><Relationship Id="rId27" Type="http://schemas.openxmlformats.org/officeDocument/2006/relationships/hyperlink" Target="https://samchui.com/2020/03/26/covid-19-airlines-focus-their-fleets-on-cargo/" TargetMode="External"/><Relationship Id="rId30" Type="http://schemas.openxmlformats.org/officeDocument/2006/relationships/hyperlink" Target="https://samchui.com/2020/03/26/covid-19-airlines-focus-their-fleets-on-cargo/" TargetMode="External"/><Relationship Id="rId8" Type="http://schemas.openxmlformats.org/officeDocument/2006/relationships/hyperlink" Target="https://www.bloomberg.com/news/articles/2020-03-25/desperate-airlines-switch-passengers-for-cargo-to-stay-al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topLeftCell="A52" workbookViewId="0">
      <selection activeCell="D83" sqref="D83"/>
    </sheetView>
  </sheetViews>
  <sheetFormatPr baseColWidth="10" defaultRowHeight="16" x14ac:dyDescent="0.2"/>
  <cols>
    <col min="1" max="1" width="26.1640625" bestFit="1" customWidth="1"/>
    <col min="2" max="2" width="31.1640625" bestFit="1" customWidth="1"/>
    <col min="3" max="4" width="27.1640625" customWidth="1"/>
    <col min="5" max="5" width="28.33203125" customWidth="1"/>
    <col min="9" max="9" width="95.5" customWidth="1"/>
    <col min="157" max="157" width="7" bestFit="1" customWidth="1"/>
  </cols>
  <sheetData>
    <row r="1" spans="1:9" x14ac:dyDescent="0.2">
      <c r="A1" s="1" t="s">
        <v>117</v>
      </c>
      <c r="B1" s="1" t="s">
        <v>118</v>
      </c>
      <c r="C1" s="1" t="s">
        <v>119</v>
      </c>
      <c r="D1" s="1"/>
      <c r="E1" s="1" t="s">
        <v>0</v>
      </c>
    </row>
    <row r="2" spans="1:9" x14ac:dyDescent="0.2">
      <c r="A2" t="s">
        <v>1</v>
      </c>
      <c r="B2">
        <v>776</v>
      </c>
      <c r="C2" t="s">
        <v>82</v>
      </c>
      <c r="D2">
        <f>IF(C2="YES",B2,0)</f>
        <v>776</v>
      </c>
    </row>
    <row r="3" spans="1:9" x14ac:dyDescent="0.2">
      <c r="A3" t="s">
        <v>2</v>
      </c>
      <c r="B3">
        <v>434</v>
      </c>
      <c r="C3" t="s">
        <v>82</v>
      </c>
      <c r="D3">
        <f t="shared" ref="D3:D66" si="0">IF(C3="YES",B3,0)</f>
        <v>434</v>
      </c>
      <c r="E3" s="2" t="s">
        <v>83</v>
      </c>
    </row>
    <row r="4" spans="1:9" x14ac:dyDescent="0.2">
      <c r="A4" t="s">
        <v>3</v>
      </c>
      <c r="B4">
        <v>380</v>
      </c>
      <c r="C4" t="s">
        <v>82</v>
      </c>
      <c r="D4">
        <f t="shared" si="0"/>
        <v>380</v>
      </c>
      <c r="E4" s="2" t="s">
        <v>87</v>
      </c>
    </row>
    <row r="5" spans="1:9" x14ac:dyDescent="0.2">
      <c r="A5" t="s">
        <v>4</v>
      </c>
      <c r="B5">
        <v>336</v>
      </c>
      <c r="C5" t="s">
        <v>82</v>
      </c>
      <c r="D5">
        <f t="shared" si="0"/>
        <v>336</v>
      </c>
      <c r="E5" s="2" t="s">
        <v>88</v>
      </c>
    </row>
    <row r="6" spans="1:9" x14ac:dyDescent="0.2">
      <c r="A6" t="s">
        <v>5</v>
      </c>
      <c r="B6">
        <v>322</v>
      </c>
      <c r="C6" t="s">
        <v>81</v>
      </c>
      <c r="D6">
        <f t="shared" si="0"/>
        <v>0</v>
      </c>
    </row>
    <row r="7" spans="1:9" x14ac:dyDescent="0.2">
      <c r="A7" t="s">
        <v>6</v>
      </c>
      <c r="B7">
        <v>296</v>
      </c>
      <c r="C7" t="s">
        <v>82</v>
      </c>
      <c r="D7">
        <f t="shared" si="0"/>
        <v>296</v>
      </c>
      <c r="E7" s="2"/>
    </row>
    <row r="8" spans="1:9" x14ac:dyDescent="0.2">
      <c r="A8" t="s">
        <v>7</v>
      </c>
      <c r="B8">
        <v>286</v>
      </c>
      <c r="C8" t="s">
        <v>81</v>
      </c>
      <c r="D8">
        <f t="shared" si="0"/>
        <v>0</v>
      </c>
      <c r="E8" s="2"/>
      <c r="I8" t="s">
        <v>84</v>
      </c>
    </row>
    <row r="9" spans="1:9" x14ac:dyDescent="0.2">
      <c r="A9" t="s">
        <v>8</v>
      </c>
      <c r="B9">
        <v>223</v>
      </c>
      <c r="C9" t="s">
        <v>82</v>
      </c>
      <c r="D9">
        <f t="shared" si="0"/>
        <v>223</v>
      </c>
      <c r="E9" s="2" t="s">
        <v>89</v>
      </c>
      <c r="I9" t="s">
        <v>85</v>
      </c>
    </row>
    <row r="10" spans="1:9" x14ac:dyDescent="0.2">
      <c r="A10" t="s">
        <v>9</v>
      </c>
      <c r="B10">
        <v>220</v>
      </c>
      <c r="C10" t="s">
        <v>81</v>
      </c>
      <c r="D10">
        <f t="shared" si="0"/>
        <v>0</v>
      </c>
      <c r="I10" t="s">
        <v>86</v>
      </c>
    </row>
    <row r="11" spans="1:9" x14ac:dyDescent="0.2">
      <c r="A11" t="s">
        <v>10</v>
      </c>
      <c r="B11">
        <v>210</v>
      </c>
      <c r="C11" t="s">
        <v>81</v>
      </c>
      <c r="D11">
        <f t="shared" si="0"/>
        <v>0</v>
      </c>
    </row>
    <row r="12" spans="1:9" x14ac:dyDescent="0.2">
      <c r="A12" t="s">
        <v>11</v>
      </c>
      <c r="B12">
        <v>207</v>
      </c>
      <c r="C12" t="s">
        <v>82</v>
      </c>
      <c r="D12">
        <f t="shared" si="0"/>
        <v>207</v>
      </c>
      <c r="E12" s="2" t="s">
        <v>90</v>
      </c>
    </row>
    <row r="13" spans="1:9" x14ac:dyDescent="0.2">
      <c r="A13" t="s">
        <v>12</v>
      </c>
      <c r="B13">
        <v>204</v>
      </c>
      <c r="C13" t="s">
        <v>82</v>
      </c>
      <c r="D13">
        <f t="shared" si="0"/>
        <v>204</v>
      </c>
      <c r="E13" s="2" t="s">
        <v>91</v>
      </c>
    </row>
    <row r="14" spans="1:9" x14ac:dyDescent="0.2">
      <c r="A14" t="s">
        <v>13</v>
      </c>
      <c r="B14">
        <v>196</v>
      </c>
      <c r="C14" t="s">
        <v>82</v>
      </c>
      <c r="D14">
        <f t="shared" si="0"/>
        <v>196</v>
      </c>
      <c r="E14" s="2" t="s">
        <v>93</v>
      </c>
    </row>
    <row r="15" spans="1:9" x14ac:dyDescent="0.2">
      <c r="A15" t="s">
        <v>14</v>
      </c>
      <c r="B15">
        <v>195</v>
      </c>
      <c r="C15" t="s">
        <v>82</v>
      </c>
      <c r="D15">
        <f t="shared" si="0"/>
        <v>195</v>
      </c>
      <c r="E15" s="2" t="s">
        <v>94</v>
      </c>
    </row>
    <row r="16" spans="1:9" x14ac:dyDescent="0.2">
      <c r="A16" t="s">
        <v>15</v>
      </c>
      <c r="B16">
        <v>191</v>
      </c>
      <c r="C16" t="s">
        <v>81</v>
      </c>
      <c r="D16">
        <f t="shared" si="0"/>
        <v>0</v>
      </c>
    </row>
    <row r="17" spans="1:5" x14ac:dyDescent="0.2">
      <c r="A17" t="s">
        <v>16</v>
      </c>
      <c r="B17">
        <v>191</v>
      </c>
      <c r="C17" t="s">
        <v>81</v>
      </c>
      <c r="D17">
        <f t="shared" si="0"/>
        <v>0</v>
      </c>
    </row>
    <row r="18" spans="1:5" x14ac:dyDescent="0.2">
      <c r="A18" t="s">
        <v>17</v>
      </c>
      <c r="B18">
        <v>186</v>
      </c>
      <c r="C18" t="s">
        <v>82</v>
      </c>
      <c r="D18">
        <f t="shared" si="0"/>
        <v>186</v>
      </c>
      <c r="E18" s="2" t="s">
        <v>95</v>
      </c>
    </row>
    <row r="19" spans="1:5" x14ac:dyDescent="0.2">
      <c r="A19" t="s">
        <v>18</v>
      </c>
      <c r="B19">
        <v>185</v>
      </c>
      <c r="C19" t="s">
        <v>81</v>
      </c>
      <c r="D19">
        <f t="shared" si="0"/>
        <v>0</v>
      </c>
      <c r="E19" s="2"/>
    </row>
    <row r="20" spans="1:5" x14ac:dyDescent="0.2">
      <c r="A20" t="s">
        <v>19</v>
      </c>
      <c r="B20">
        <v>184</v>
      </c>
      <c r="C20" t="s">
        <v>81</v>
      </c>
      <c r="D20">
        <f t="shared" si="0"/>
        <v>0</v>
      </c>
      <c r="E20" s="2"/>
    </row>
    <row r="21" spans="1:5" x14ac:dyDescent="0.2">
      <c r="A21" t="s">
        <v>20</v>
      </c>
      <c r="B21">
        <v>179</v>
      </c>
      <c r="C21" t="s">
        <v>81</v>
      </c>
      <c r="D21">
        <f t="shared" si="0"/>
        <v>0</v>
      </c>
    </row>
    <row r="22" spans="1:5" x14ac:dyDescent="0.2">
      <c r="A22" t="s">
        <v>21</v>
      </c>
      <c r="B22">
        <v>173</v>
      </c>
      <c r="C22" t="s">
        <v>82</v>
      </c>
      <c r="D22">
        <f t="shared" si="0"/>
        <v>173</v>
      </c>
      <c r="E22" s="2" t="s">
        <v>96</v>
      </c>
    </row>
    <row r="23" spans="1:5" x14ac:dyDescent="0.2">
      <c r="A23" t="s">
        <v>22</v>
      </c>
      <c r="B23">
        <v>170</v>
      </c>
      <c r="C23" t="s">
        <v>82</v>
      </c>
      <c r="D23">
        <f t="shared" si="0"/>
        <v>170</v>
      </c>
      <c r="E23" s="2" t="s">
        <v>97</v>
      </c>
    </row>
    <row r="24" spans="1:5" x14ac:dyDescent="0.2">
      <c r="A24" t="s">
        <v>23</v>
      </c>
      <c r="B24">
        <v>169</v>
      </c>
      <c r="C24" t="s">
        <v>81</v>
      </c>
      <c r="D24">
        <f t="shared" si="0"/>
        <v>0</v>
      </c>
    </row>
    <row r="25" spans="1:5" x14ac:dyDescent="0.2">
      <c r="A25" t="s">
        <v>24</v>
      </c>
      <c r="B25">
        <v>167</v>
      </c>
      <c r="C25" t="s">
        <v>82</v>
      </c>
      <c r="D25">
        <f t="shared" si="0"/>
        <v>167</v>
      </c>
    </row>
    <row r="26" spans="1:5" x14ac:dyDescent="0.2">
      <c r="A26" t="s">
        <v>25</v>
      </c>
      <c r="B26">
        <v>138</v>
      </c>
      <c r="C26" t="s">
        <v>82</v>
      </c>
      <c r="D26">
        <f t="shared" si="0"/>
        <v>138</v>
      </c>
      <c r="E26" s="2" t="s">
        <v>98</v>
      </c>
    </row>
    <row r="27" spans="1:5" x14ac:dyDescent="0.2">
      <c r="A27" t="s">
        <v>26</v>
      </c>
      <c r="B27">
        <v>110</v>
      </c>
      <c r="C27" t="s">
        <v>81</v>
      </c>
      <c r="D27">
        <f t="shared" si="0"/>
        <v>0</v>
      </c>
    </row>
    <row r="28" spans="1:5" x14ac:dyDescent="0.2">
      <c r="A28" t="s">
        <v>27</v>
      </c>
      <c r="B28">
        <v>107</v>
      </c>
      <c r="C28" t="s">
        <v>81</v>
      </c>
      <c r="D28">
        <f t="shared" si="0"/>
        <v>0</v>
      </c>
      <c r="E28" s="2" t="s">
        <v>99</v>
      </c>
    </row>
    <row r="29" spans="1:5" x14ac:dyDescent="0.2">
      <c r="A29" t="s">
        <v>28</v>
      </c>
      <c r="B29">
        <v>104</v>
      </c>
      <c r="C29" t="s">
        <v>81</v>
      </c>
      <c r="D29">
        <f t="shared" si="0"/>
        <v>0</v>
      </c>
    </row>
    <row r="30" spans="1:5" x14ac:dyDescent="0.2">
      <c r="A30" t="s">
        <v>29</v>
      </c>
      <c r="B30">
        <v>99</v>
      </c>
      <c r="C30" t="s">
        <v>82</v>
      </c>
      <c r="D30">
        <f t="shared" si="0"/>
        <v>99</v>
      </c>
      <c r="E30" s="2" t="s">
        <v>100</v>
      </c>
    </row>
    <row r="31" spans="1:5" x14ac:dyDescent="0.2">
      <c r="A31" t="s">
        <v>30</v>
      </c>
      <c r="B31">
        <v>96</v>
      </c>
      <c r="C31" t="s">
        <v>81</v>
      </c>
      <c r="D31">
        <f t="shared" si="0"/>
        <v>0</v>
      </c>
      <c r="E31" s="2" t="s">
        <v>101</v>
      </c>
    </row>
    <row r="32" spans="1:5" x14ac:dyDescent="0.2">
      <c r="A32" t="s">
        <v>31</v>
      </c>
      <c r="B32">
        <v>93</v>
      </c>
      <c r="C32" t="s">
        <v>81</v>
      </c>
      <c r="D32">
        <f t="shared" si="0"/>
        <v>0</v>
      </c>
    </row>
    <row r="33" spans="1:5" x14ac:dyDescent="0.2">
      <c r="A33" t="s">
        <v>32</v>
      </c>
      <c r="B33">
        <v>92</v>
      </c>
      <c r="C33" t="s">
        <v>81</v>
      </c>
      <c r="D33">
        <f t="shared" si="0"/>
        <v>0</v>
      </c>
      <c r="E33" s="2" t="s">
        <v>102</v>
      </c>
    </row>
    <row r="34" spans="1:5" x14ac:dyDescent="0.2">
      <c r="A34" t="s">
        <v>33</v>
      </c>
      <c r="B34">
        <v>77</v>
      </c>
      <c r="C34" t="s">
        <v>81</v>
      </c>
      <c r="D34">
        <f t="shared" si="0"/>
        <v>0</v>
      </c>
    </row>
    <row r="35" spans="1:5" x14ac:dyDescent="0.2">
      <c r="A35" t="s">
        <v>34</v>
      </c>
      <c r="B35">
        <v>75</v>
      </c>
      <c r="C35" t="s">
        <v>81</v>
      </c>
      <c r="D35">
        <f t="shared" si="0"/>
        <v>0</v>
      </c>
    </row>
    <row r="36" spans="1:5" x14ac:dyDescent="0.2">
      <c r="A36" t="s">
        <v>35</v>
      </c>
      <c r="B36">
        <v>69</v>
      </c>
      <c r="C36" t="s">
        <v>81</v>
      </c>
      <c r="D36">
        <f t="shared" si="0"/>
        <v>0</v>
      </c>
    </row>
    <row r="37" spans="1:5" x14ac:dyDescent="0.2">
      <c r="A37" t="s">
        <v>36</v>
      </c>
      <c r="B37">
        <v>68</v>
      </c>
      <c r="C37" t="s">
        <v>82</v>
      </c>
      <c r="D37">
        <f t="shared" si="0"/>
        <v>68</v>
      </c>
      <c r="E37" s="2" t="s">
        <v>103</v>
      </c>
    </row>
    <row r="38" spans="1:5" x14ac:dyDescent="0.2">
      <c r="A38" t="s">
        <v>37</v>
      </c>
      <c r="B38">
        <v>63</v>
      </c>
      <c r="C38" t="s">
        <v>81</v>
      </c>
      <c r="D38">
        <f t="shared" si="0"/>
        <v>0</v>
      </c>
      <c r="E38" s="2" t="s">
        <v>104</v>
      </c>
    </row>
    <row r="39" spans="1:5" x14ac:dyDescent="0.2">
      <c r="A39" t="s">
        <v>38</v>
      </c>
      <c r="B39">
        <v>59</v>
      </c>
      <c r="C39" t="s">
        <v>82</v>
      </c>
      <c r="D39">
        <f t="shared" si="0"/>
        <v>59</v>
      </c>
      <c r="E39" s="2" t="s">
        <v>105</v>
      </c>
    </row>
    <row r="40" spans="1:5" x14ac:dyDescent="0.2">
      <c r="A40" t="s">
        <v>39</v>
      </c>
      <c r="B40">
        <v>58</v>
      </c>
      <c r="C40" t="s">
        <v>82</v>
      </c>
      <c r="D40">
        <f t="shared" si="0"/>
        <v>58</v>
      </c>
      <c r="E40" s="2" t="s">
        <v>106</v>
      </c>
    </row>
    <row r="41" spans="1:5" x14ac:dyDescent="0.2">
      <c r="A41" t="s">
        <v>40</v>
      </c>
      <c r="B41">
        <v>43</v>
      </c>
      <c r="C41" t="s">
        <v>82</v>
      </c>
      <c r="D41">
        <f t="shared" si="0"/>
        <v>43</v>
      </c>
      <c r="E41" s="2" t="s">
        <v>106</v>
      </c>
    </row>
    <row r="42" spans="1:5" x14ac:dyDescent="0.2">
      <c r="A42" t="s">
        <v>41</v>
      </c>
      <c r="B42">
        <v>42</v>
      </c>
      <c r="C42" t="s">
        <v>82</v>
      </c>
      <c r="D42">
        <f t="shared" si="0"/>
        <v>42</v>
      </c>
    </row>
    <row r="43" spans="1:5" x14ac:dyDescent="0.2">
      <c r="A43" t="s">
        <v>42</v>
      </c>
      <c r="B43">
        <v>36</v>
      </c>
      <c r="C43" t="s">
        <v>82</v>
      </c>
      <c r="D43">
        <f t="shared" si="0"/>
        <v>36</v>
      </c>
      <c r="E43" s="2" t="s">
        <v>107</v>
      </c>
    </row>
    <row r="44" spans="1:5" x14ac:dyDescent="0.2">
      <c r="A44" t="s">
        <v>43</v>
      </c>
      <c r="B44">
        <v>35</v>
      </c>
      <c r="C44" t="s">
        <v>81</v>
      </c>
      <c r="D44">
        <f t="shared" si="0"/>
        <v>0</v>
      </c>
      <c r="E44" s="2" t="s">
        <v>108</v>
      </c>
    </row>
    <row r="45" spans="1:5" x14ac:dyDescent="0.2">
      <c r="A45" t="s">
        <v>44</v>
      </c>
      <c r="B45">
        <v>35</v>
      </c>
      <c r="C45" t="s">
        <v>81</v>
      </c>
      <c r="D45">
        <f t="shared" si="0"/>
        <v>0</v>
      </c>
    </row>
    <row r="46" spans="1:5" x14ac:dyDescent="0.2">
      <c r="A46" t="s">
        <v>45</v>
      </c>
      <c r="B46">
        <v>32</v>
      </c>
      <c r="C46" t="s">
        <v>82</v>
      </c>
      <c r="D46">
        <f t="shared" si="0"/>
        <v>32</v>
      </c>
      <c r="E46" s="2" t="s">
        <v>109</v>
      </c>
    </row>
    <row r="47" spans="1:5" x14ac:dyDescent="0.2">
      <c r="A47" t="s">
        <v>46</v>
      </c>
      <c r="B47">
        <v>28</v>
      </c>
      <c r="C47" t="s">
        <v>82</v>
      </c>
      <c r="D47">
        <f t="shared" si="0"/>
        <v>28</v>
      </c>
      <c r="E47" s="2" t="s">
        <v>92</v>
      </c>
    </row>
    <row r="48" spans="1:5" x14ac:dyDescent="0.2">
      <c r="A48" t="s">
        <v>47</v>
      </c>
      <c r="B48">
        <v>28</v>
      </c>
      <c r="C48" t="s">
        <v>81</v>
      </c>
      <c r="D48">
        <f t="shared" si="0"/>
        <v>0</v>
      </c>
      <c r="E48" s="2" t="s">
        <v>110</v>
      </c>
    </row>
    <row r="49" spans="1:5" x14ac:dyDescent="0.2">
      <c r="A49" t="s">
        <v>48</v>
      </c>
      <c r="B49">
        <v>26</v>
      </c>
      <c r="C49" t="s">
        <v>81</v>
      </c>
      <c r="D49">
        <f t="shared" si="0"/>
        <v>0</v>
      </c>
    </row>
    <row r="50" spans="1:5" x14ac:dyDescent="0.2">
      <c r="A50" t="s">
        <v>49</v>
      </c>
      <c r="B50">
        <v>21</v>
      </c>
      <c r="C50" t="s">
        <v>81</v>
      </c>
      <c r="D50">
        <f t="shared" si="0"/>
        <v>0</v>
      </c>
    </row>
    <row r="51" spans="1:5" x14ac:dyDescent="0.2">
      <c r="A51" t="s">
        <v>50</v>
      </c>
      <c r="B51">
        <v>21</v>
      </c>
      <c r="C51" t="s">
        <v>82</v>
      </c>
      <c r="D51">
        <f t="shared" si="0"/>
        <v>21</v>
      </c>
      <c r="E51" s="2" t="s">
        <v>111</v>
      </c>
    </row>
    <row r="52" spans="1:5" x14ac:dyDescent="0.2">
      <c r="A52" t="s">
        <v>51</v>
      </c>
      <c r="B52">
        <v>21</v>
      </c>
      <c r="C52" t="s">
        <v>82</v>
      </c>
      <c r="D52">
        <f t="shared" si="0"/>
        <v>21</v>
      </c>
      <c r="E52" s="2" t="s">
        <v>88</v>
      </c>
    </row>
    <row r="53" spans="1:5" x14ac:dyDescent="0.2">
      <c r="A53" t="s">
        <v>52</v>
      </c>
      <c r="B53">
        <v>20</v>
      </c>
      <c r="C53" t="s">
        <v>82</v>
      </c>
      <c r="D53">
        <f t="shared" si="0"/>
        <v>20</v>
      </c>
    </row>
    <row r="54" spans="1:5" x14ac:dyDescent="0.2">
      <c r="A54" t="s">
        <v>53</v>
      </c>
      <c r="B54">
        <v>17</v>
      </c>
      <c r="C54" t="s">
        <v>81</v>
      </c>
      <c r="D54">
        <f t="shared" si="0"/>
        <v>0</v>
      </c>
    </row>
    <row r="55" spans="1:5" x14ac:dyDescent="0.2">
      <c r="A55" t="s">
        <v>54</v>
      </c>
      <c r="B55">
        <v>17</v>
      </c>
      <c r="C55" t="s">
        <v>82</v>
      </c>
      <c r="D55">
        <f t="shared" si="0"/>
        <v>17</v>
      </c>
      <c r="E55" s="2" t="s">
        <v>112</v>
      </c>
    </row>
    <row r="56" spans="1:5" x14ac:dyDescent="0.2">
      <c r="A56" t="s">
        <v>55</v>
      </c>
      <c r="B56">
        <v>17</v>
      </c>
      <c r="C56" t="s">
        <v>82</v>
      </c>
      <c r="D56">
        <f t="shared" si="0"/>
        <v>17</v>
      </c>
      <c r="E56" s="2" t="s">
        <v>113</v>
      </c>
    </row>
    <row r="57" spans="1:5" x14ac:dyDescent="0.2">
      <c r="A57" t="s">
        <v>56</v>
      </c>
      <c r="B57">
        <v>16</v>
      </c>
      <c r="C57" t="s">
        <v>82</v>
      </c>
      <c r="D57">
        <f t="shared" si="0"/>
        <v>16</v>
      </c>
      <c r="E57" s="2" t="s">
        <v>90</v>
      </c>
    </row>
    <row r="58" spans="1:5" x14ac:dyDescent="0.2">
      <c r="A58" t="s">
        <v>57</v>
      </c>
      <c r="B58">
        <v>15</v>
      </c>
      <c r="C58" t="s">
        <v>82</v>
      </c>
      <c r="D58">
        <f t="shared" si="0"/>
        <v>15</v>
      </c>
      <c r="E58" s="2" t="s">
        <v>114</v>
      </c>
    </row>
    <row r="59" spans="1:5" x14ac:dyDescent="0.2">
      <c r="A59" t="s">
        <v>58</v>
      </c>
      <c r="B59">
        <v>11</v>
      </c>
      <c r="C59" t="s">
        <v>81</v>
      </c>
      <c r="D59">
        <f t="shared" si="0"/>
        <v>0</v>
      </c>
    </row>
    <row r="60" spans="1:5" x14ac:dyDescent="0.2">
      <c r="A60" t="s">
        <v>59</v>
      </c>
      <c r="B60">
        <v>10</v>
      </c>
      <c r="C60" t="s">
        <v>81</v>
      </c>
      <c r="D60">
        <f t="shared" si="0"/>
        <v>0</v>
      </c>
      <c r="E60" s="2" t="s">
        <v>115</v>
      </c>
    </row>
    <row r="61" spans="1:5" x14ac:dyDescent="0.2">
      <c r="A61" t="s">
        <v>60</v>
      </c>
      <c r="B61">
        <v>10</v>
      </c>
      <c r="C61" t="s">
        <v>81</v>
      </c>
      <c r="D61">
        <f t="shared" si="0"/>
        <v>0</v>
      </c>
    </row>
    <row r="62" spans="1:5" x14ac:dyDescent="0.2">
      <c r="A62" t="s">
        <v>61</v>
      </c>
      <c r="B62">
        <v>9</v>
      </c>
      <c r="C62" t="s">
        <v>81</v>
      </c>
      <c r="D62">
        <f t="shared" si="0"/>
        <v>0</v>
      </c>
    </row>
    <row r="63" spans="1:5" x14ac:dyDescent="0.2">
      <c r="A63" t="s">
        <v>62</v>
      </c>
      <c r="B63">
        <v>9</v>
      </c>
      <c r="C63" t="s">
        <v>81</v>
      </c>
      <c r="D63">
        <f t="shared" si="0"/>
        <v>0</v>
      </c>
    </row>
    <row r="64" spans="1:5" x14ac:dyDescent="0.2">
      <c r="A64" t="s">
        <v>63</v>
      </c>
      <c r="B64">
        <v>8</v>
      </c>
      <c r="C64" t="s">
        <v>81</v>
      </c>
      <c r="D64">
        <f t="shared" si="0"/>
        <v>0</v>
      </c>
    </row>
    <row r="65" spans="1:4" x14ac:dyDescent="0.2">
      <c r="A65" t="s">
        <v>64</v>
      </c>
      <c r="B65">
        <v>7</v>
      </c>
      <c r="C65" t="s">
        <v>81</v>
      </c>
      <c r="D65">
        <f t="shared" si="0"/>
        <v>0</v>
      </c>
    </row>
    <row r="66" spans="1:4" x14ac:dyDescent="0.2">
      <c r="A66" t="s">
        <v>65</v>
      </c>
      <c r="B66">
        <v>7</v>
      </c>
      <c r="C66" t="s">
        <v>81</v>
      </c>
      <c r="D66">
        <f t="shared" si="0"/>
        <v>0</v>
      </c>
    </row>
    <row r="67" spans="1:4" x14ac:dyDescent="0.2">
      <c r="A67" t="s">
        <v>66</v>
      </c>
      <c r="B67">
        <v>4</v>
      </c>
      <c r="C67" t="s">
        <v>81</v>
      </c>
      <c r="D67">
        <f t="shared" ref="D67:D84" si="1">IF(C67="YES",B67,0)</f>
        <v>0</v>
      </c>
    </row>
    <row r="68" spans="1:4" x14ac:dyDescent="0.2">
      <c r="A68" t="s">
        <v>67</v>
      </c>
      <c r="B68">
        <v>4</v>
      </c>
      <c r="C68" t="s">
        <v>81</v>
      </c>
      <c r="D68">
        <f t="shared" si="1"/>
        <v>0</v>
      </c>
    </row>
    <row r="69" spans="1:4" x14ac:dyDescent="0.2">
      <c r="A69" t="s">
        <v>68</v>
      </c>
      <c r="B69">
        <v>4</v>
      </c>
      <c r="C69" t="s">
        <v>82</v>
      </c>
      <c r="D69">
        <f t="shared" si="1"/>
        <v>4</v>
      </c>
    </row>
    <row r="70" spans="1:4" x14ac:dyDescent="0.2">
      <c r="A70" t="s">
        <v>69</v>
      </c>
      <c r="B70">
        <v>3</v>
      </c>
      <c r="C70" t="s">
        <v>81</v>
      </c>
      <c r="D70">
        <f t="shared" si="1"/>
        <v>0</v>
      </c>
    </row>
    <row r="71" spans="1:4" x14ac:dyDescent="0.2">
      <c r="A71" t="s">
        <v>70</v>
      </c>
      <c r="B71">
        <v>3</v>
      </c>
      <c r="C71" t="s">
        <v>81</v>
      </c>
      <c r="D71">
        <f t="shared" si="1"/>
        <v>0</v>
      </c>
    </row>
    <row r="72" spans="1:4" x14ac:dyDescent="0.2">
      <c r="A72" t="s">
        <v>71</v>
      </c>
      <c r="B72">
        <v>3</v>
      </c>
      <c r="C72" t="s">
        <v>81</v>
      </c>
      <c r="D72">
        <f t="shared" si="1"/>
        <v>0</v>
      </c>
    </row>
    <row r="73" spans="1:4" x14ac:dyDescent="0.2">
      <c r="A73" t="s">
        <v>72</v>
      </c>
      <c r="B73">
        <v>3</v>
      </c>
      <c r="C73" t="s">
        <v>81</v>
      </c>
      <c r="D73">
        <f t="shared" si="1"/>
        <v>0</v>
      </c>
    </row>
    <row r="74" spans="1:4" x14ac:dyDescent="0.2">
      <c r="A74" t="s">
        <v>73</v>
      </c>
      <c r="B74">
        <v>3</v>
      </c>
      <c r="C74" t="s">
        <v>81</v>
      </c>
      <c r="D74">
        <f t="shared" si="1"/>
        <v>0</v>
      </c>
    </row>
    <row r="75" spans="1:4" x14ac:dyDescent="0.2">
      <c r="A75" t="s">
        <v>74</v>
      </c>
      <c r="B75">
        <v>2</v>
      </c>
      <c r="C75" t="s">
        <v>81</v>
      </c>
      <c r="D75">
        <f t="shared" si="1"/>
        <v>0</v>
      </c>
    </row>
    <row r="76" spans="1:4" x14ac:dyDescent="0.2">
      <c r="A76" t="s">
        <v>75</v>
      </c>
      <c r="B76">
        <v>2</v>
      </c>
      <c r="C76" t="s">
        <v>81</v>
      </c>
      <c r="D76">
        <f t="shared" si="1"/>
        <v>0</v>
      </c>
    </row>
    <row r="77" spans="1:4" x14ac:dyDescent="0.2">
      <c r="A77" t="s">
        <v>76</v>
      </c>
      <c r="B77">
        <v>2</v>
      </c>
      <c r="C77" t="s">
        <v>81</v>
      </c>
      <c r="D77">
        <f t="shared" si="1"/>
        <v>0</v>
      </c>
    </row>
    <row r="78" spans="1:4" x14ac:dyDescent="0.2">
      <c r="A78" t="s">
        <v>77</v>
      </c>
      <c r="B78">
        <v>2</v>
      </c>
      <c r="C78" t="s">
        <v>81</v>
      </c>
      <c r="D78">
        <f t="shared" si="1"/>
        <v>0</v>
      </c>
    </row>
    <row r="79" spans="1:4" x14ac:dyDescent="0.2">
      <c r="A79" t="s">
        <v>78</v>
      </c>
      <c r="B79">
        <v>1</v>
      </c>
      <c r="C79" t="s">
        <v>81</v>
      </c>
      <c r="D79">
        <f t="shared" si="1"/>
        <v>0</v>
      </c>
    </row>
    <row r="80" spans="1:4" x14ac:dyDescent="0.2">
      <c r="A80" t="s">
        <v>79</v>
      </c>
      <c r="B80">
        <v>1</v>
      </c>
      <c r="C80" t="s">
        <v>81</v>
      </c>
      <c r="D80">
        <f t="shared" si="1"/>
        <v>0</v>
      </c>
    </row>
    <row r="81" spans="1:4" x14ac:dyDescent="0.2">
      <c r="A81" t="s">
        <v>80</v>
      </c>
      <c r="B81">
        <v>1</v>
      </c>
      <c r="C81" t="s">
        <v>81</v>
      </c>
      <c r="D81">
        <f t="shared" si="1"/>
        <v>0</v>
      </c>
    </row>
    <row r="82" spans="1:4" x14ac:dyDescent="0.2">
      <c r="A82" t="s">
        <v>116</v>
      </c>
      <c r="B82">
        <f>SUM(B2:B81)</f>
        <v>7967</v>
      </c>
    </row>
    <row r="83" spans="1:4" x14ac:dyDescent="0.2">
      <c r="A83" t="s">
        <v>82</v>
      </c>
      <c r="B83">
        <f>SUM(D2:D81)</f>
        <v>4677</v>
      </c>
      <c r="C83" s="3">
        <f>B83/B82</f>
        <v>0.58704656708924308</v>
      </c>
    </row>
    <row r="84" spans="1:4" x14ac:dyDescent="0.2">
      <c r="A84" t="s">
        <v>81</v>
      </c>
      <c r="B84">
        <f>B82-B83</f>
        <v>3290</v>
      </c>
      <c r="C84" s="4">
        <f>1-C83</f>
        <v>0.41295343291075692</v>
      </c>
    </row>
  </sheetData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12" r:id="rId4" xr:uid="{00000000-0004-0000-0000-000005000000}"/>
    <hyperlink ref="E13" r:id="rId5" location="420bff354e26" xr:uid="{00000000-0004-0000-0000-000006000000}"/>
    <hyperlink ref="E47" r:id="rId6" xr:uid="{00000000-0004-0000-0000-000007000000}"/>
    <hyperlink ref="E14" r:id="rId7" location=".XuC80J4zZQI" xr:uid="{00000000-0004-0000-0000-000008000000}"/>
    <hyperlink ref="E18" r:id="rId8" xr:uid="{00000000-0004-0000-0000-000009000000}"/>
    <hyperlink ref="E22" r:id="rId9" xr:uid="{00000000-0004-0000-0000-00000D000000}"/>
    <hyperlink ref="E23" r:id="rId10" xr:uid="{00000000-0004-0000-0000-00000E000000}"/>
    <hyperlink ref="E26" r:id="rId11" location="61f881bc6f0e" xr:uid="{00000000-0004-0000-0000-00000F000000}"/>
    <hyperlink ref="E28" r:id="rId12" xr:uid="{00000000-0004-0000-0000-000010000000}"/>
    <hyperlink ref="E30" r:id="rId13" location=".XuH3Xp4zZQI" xr:uid="{00000000-0004-0000-0000-000011000000}"/>
    <hyperlink ref="E31" r:id="rId14" xr:uid="{00000000-0004-0000-0000-000012000000}"/>
    <hyperlink ref="E33" r:id="rId15" xr:uid="{00000000-0004-0000-0000-000013000000}"/>
    <hyperlink ref="E37" r:id="rId16" xr:uid="{00000000-0004-0000-0000-000014000000}"/>
    <hyperlink ref="E38" r:id="rId17" xr:uid="{00000000-0004-0000-0000-000015000000}"/>
    <hyperlink ref="E39" r:id="rId18" location="789edb27a84b" xr:uid="{00000000-0004-0000-0000-000016000000}"/>
    <hyperlink ref="E40" r:id="rId19" location=".XuICzp4zZQJ" xr:uid="{00000000-0004-0000-0000-000017000000}"/>
    <hyperlink ref="E41" r:id="rId20" location=".XuICzp4zZQJ" xr:uid="{00000000-0004-0000-0000-000018000000}"/>
    <hyperlink ref="E43" r:id="rId21" location="1b9c58707c68" xr:uid="{00000000-0004-0000-0000-000019000000}"/>
    <hyperlink ref="E44" r:id="rId22" xr:uid="{00000000-0004-0000-0000-00001A000000}"/>
    <hyperlink ref="E46" r:id="rId23" xr:uid="{00000000-0004-0000-0000-00001B000000}"/>
    <hyperlink ref="E48" r:id="rId24" xr:uid="{00000000-0004-0000-0000-00001C000000}"/>
    <hyperlink ref="E51" r:id="rId25" xr:uid="{00000000-0004-0000-0000-00001D000000}"/>
    <hyperlink ref="E52" r:id="rId26" xr:uid="{00000000-0004-0000-0000-00001E000000}"/>
    <hyperlink ref="E55" r:id="rId27" location=".XuIRFZ4zZQI" xr:uid="{00000000-0004-0000-0000-00001F000000}"/>
    <hyperlink ref="E56" r:id="rId28" xr:uid="{00000000-0004-0000-0000-000020000000}"/>
    <hyperlink ref="E57" r:id="rId29" xr:uid="{00000000-0004-0000-0000-000021000000}"/>
    <hyperlink ref="E58" r:id="rId30" location=".XuISD54zZQI" xr:uid="{00000000-0004-0000-0000-000022000000}"/>
    <hyperlink ref="E60" r:id="rId31" xr:uid="{00000000-0004-0000-0000-000023000000}"/>
    <hyperlink ref="E9" r:id="rId32" xr:uid="{154F2232-55D9-F948-A729-0E54B335D85A}"/>
    <hyperlink ref="E15" r:id="rId33" location="2db2858975df" xr:uid="{2F3EFF88-F21E-4748-9479-05CD82935B96}"/>
  </hyperlink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Rogeer Estrach i Guerrero</dc:creator>
  <cp:lastModifiedBy>Rogeer Estrach i Guerrero</cp:lastModifiedBy>
  <dcterms:created xsi:type="dcterms:W3CDTF">2020-06-10T08:16:46Z</dcterms:created>
  <dcterms:modified xsi:type="dcterms:W3CDTF">2020-06-11T15:20:25Z</dcterms:modified>
</cp:coreProperties>
</file>